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W:\OfficeStudy\"/>
    </mc:Choice>
  </mc:AlternateContent>
  <bookViews>
    <workbookView xWindow="360" yWindow="3270" windowWidth="14940" windowHeight="9150" activeTab="2"/>
  </bookViews>
  <sheets>
    <sheet name="工资明细" sheetId="6" r:id="rId1"/>
    <sheet name="工资条模板" sheetId="5" state="hidden" r:id="rId2"/>
    <sheet name="发送邮件" sheetId="4" r:id="rId3"/>
  </sheets>
  <definedNames>
    <definedName name="_xlnm._FilterDatabase" localSheetId="0" hidden="1">工资明细!$A$1:$AD$1</definedName>
    <definedName name="天数A">#REF!</definedName>
    <definedName name="工资核算日期">#REF!</definedName>
    <definedName name="本月规定上班天数">#REF!</definedName>
    <definedName name="本月计薪日期">#REF!</definedName>
    <definedName name="本月餐补天数">#REF!</definedName>
    <definedName name="计薪天数">#REF!</definedName>
  </definedNames>
  <calcPr calcId="162913"/>
</workbook>
</file>

<file path=xl/calcChain.xml><?xml version="1.0" encoding="utf-8"?>
<calcChain xmlns="http://schemas.openxmlformats.org/spreadsheetml/2006/main">
  <c r="B12" i="5" l="1"/>
  <c r="D12" i="5"/>
  <c r="B11" i="5"/>
  <c r="D10" i="5"/>
  <c r="D11" i="5"/>
  <c r="D8" i="5"/>
  <c r="B8" i="5"/>
  <c r="D7" i="5"/>
  <c r="B7" i="5"/>
  <c r="D6" i="5"/>
  <c r="B6" i="5"/>
  <c r="D4" i="5"/>
  <c r="B4" i="5"/>
  <c r="D3" i="5"/>
  <c r="B3" i="5"/>
  <c r="D1" i="5"/>
</calcChain>
</file>

<file path=xl/sharedStrings.xml><?xml version="1.0" encoding="utf-8"?>
<sst xmlns="http://schemas.openxmlformats.org/spreadsheetml/2006/main" count="78" uniqueCount="68">
  <si>
    <t>工号</t>
  </si>
  <si>
    <t>姓名</t>
  </si>
  <si>
    <t>（1）工资与奖金</t>
  </si>
  <si>
    <t>基本工资</t>
  </si>
  <si>
    <t>岗位津贴</t>
  </si>
  <si>
    <t>奖金</t>
  </si>
  <si>
    <t>补以前月份差异</t>
  </si>
  <si>
    <t>（2）补助项目</t>
  </si>
  <si>
    <t>电话补助</t>
  </si>
  <si>
    <t>交通补助</t>
  </si>
  <si>
    <t>餐补</t>
  </si>
  <si>
    <t>电脑补助</t>
  </si>
  <si>
    <t>补以前月份补贴</t>
  </si>
  <si>
    <t>补多扣社保公积金</t>
  </si>
  <si>
    <t>（3）扣款项目</t>
  </si>
  <si>
    <t>扣房租及个人借款</t>
  </si>
  <si>
    <t>«房租及个人借款税后扣款»　</t>
  </si>
  <si>
    <t>扣特殊公积金</t>
  </si>
  <si>
    <t>扣养老保险</t>
  </si>
  <si>
    <t>扣公积金</t>
  </si>
  <si>
    <t>扣失业保险</t>
  </si>
  <si>
    <t>扣医疗保险</t>
  </si>
  <si>
    <t>补扣社保公积金款</t>
  </si>
  <si>
    <t>　«补扣以前月份社保»</t>
  </si>
  <si>
    <t>考勤等扣薪金额</t>
  </si>
  <si>
    <t>　«差异扣薪金额»</t>
  </si>
  <si>
    <t>（4）应发金额</t>
  </si>
  <si>
    <t>（5）应纳税所得额</t>
  </si>
  <si>
    <t>«应发工资_合计»　</t>
  </si>
  <si>
    <t>«应税所得额»　</t>
  </si>
  <si>
    <t>（6）扣个人所得税</t>
  </si>
  <si>
    <t>（7）实发金额</t>
  </si>
  <si>
    <t>«扣个人所得税»　</t>
  </si>
  <si>
    <t>«实发工资_合计»　</t>
  </si>
  <si>
    <t>序号</t>
  </si>
  <si>
    <t>月份</t>
  </si>
  <si>
    <t>姓 名</t>
  </si>
  <si>
    <t>部门</t>
  </si>
  <si>
    <t>电话补贴（20%扣税）</t>
  </si>
  <si>
    <t>交通补贴（30%扣税）</t>
  </si>
  <si>
    <t>电脑补贴</t>
  </si>
  <si>
    <t>午餐补贴</t>
  </si>
  <si>
    <t>其他补贴</t>
  </si>
  <si>
    <t>补以前多扣社保公积金</t>
    <phoneticPr fontId="6" type="noConversion"/>
  </si>
  <si>
    <t>应发工资
合计</t>
  </si>
  <si>
    <t>差异扣薪金额</t>
  </si>
  <si>
    <t>补扣以前月份社保</t>
    <phoneticPr fontId="6" type="noConversion"/>
  </si>
  <si>
    <t>扣住房公积金</t>
  </si>
  <si>
    <t>扣个人所得税</t>
  </si>
  <si>
    <t>应扣减项目合计</t>
  </si>
  <si>
    <t>应税所得额</t>
  </si>
  <si>
    <t>房租及个人借款税后扣款</t>
  </si>
  <si>
    <t>实发工资
合计</t>
  </si>
  <si>
    <t>身份证号码</t>
  </si>
  <si>
    <t>银行卡号</t>
  </si>
  <si>
    <t>邮箱</t>
    <phoneticPr fontId="6" type="noConversion"/>
  </si>
  <si>
    <t>备注</t>
    <phoneticPr fontId="6" type="noConversion"/>
  </si>
  <si>
    <t>发件人邮箱</t>
    <phoneticPr fontId="1" type="noConversion"/>
  </si>
  <si>
    <t>发件人邮箱密码</t>
    <phoneticPr fontId="1" type="noConversion"/>
  </si>
  <si>
    <t>HA001</t>
    <phoneticPr fontId="1" type="noConversion"/>
  </si>
  <si>
    <t>发送模板</t>
    <phoneticPr fontId="1" type="noConversion"/>
  </si>
  <si>
    <r>
      <t>&lt;!DOCTYPE html PUBLIC "-//W3C//DTD XHTML 1.0 Transitional//EN" "http://www.w3.org/TR/xhtml1/DTD/xhtml1-transitional.dtd"&gt;
&lt;html xmlns="http://www.w3.org/1999/xhtml"&gt;
 &lt;head&gt;
  &lt;meta http-equiv="Content-Type" content="text/html;" /&gt;
  &lt;meta name="viewport" content="width=device-width, initial-scale=1.0" /&gt;
 &lt;/head&gt;
 &lt;body style="margin: 20; padding: 20;"&gt;
  &lt;table border="0" cellpadding="0" cellspacing="0" width="100%"&gt;
   &lt;tr&gt;
  &lt;td&gt;
   &lt;p&gt;$1$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&lt;/p&gt;
  &lt;/td&gt;
  &lt;/tr&gt;
  &lt;tr&gt;
   &lt;td&gt;
&lt;p&gt;</t>
    </r>
    <r>
      <rPr>
        <sz val="10"/>
        <rFont val="宋体"/>
        <family val="3"/>
        <charset val="134"/>
      </rPr>
      <t>您好！感谢您的辛勤工作，本月工资已于</t>
    </r>
    <r>
      <rPr>
        <sz val="10"/>
        <rFont val="Arial"/>
        <family val="2"/>
      </rPr>
      <t>$2$</t>
    </r>
    <r>
      <rPr>
        <sz val="10"/>
        <rFont val="宋体"/>
        <family val="3"/>
        <charset val="134"/>
      </rPr>
      <t>月</t>
    </r>
    <r>
      <rPr>
        <sz val="10"/>
        <rFont val="Arial"/>
        <family val="2"/>
      </rPr>
      <t>$3$</t>
    </r>
    <r>
      <rPr>
        <sz val="10"/>
        <rFont val="宋体"/>
        <family val="3"/>
        <charset val="134"/>
      </rPr>
      <t>日到账，工资明细如下：</t>
    </r>
    <r>
      <rPr>
        <sz val="10"/>
        <rFont val="Arial"/>
        <family val="2"/>
      </rPr>
      <t>&lt;/p&gt;
&lt;/td&gt;
&lt;/tr&gt;
&lt;tr&gt;&lt;td&gt;
  &lt;table align="left" border="1" cellpadding="0" cellspacing="0" width="600" style="border-collapse: collapse;"&gt;
   &lt;tr height=20 style='height:16.0pt'&gt;
    &lt;td height=24 width=138&gt;</t>
    </r>
    <r>
      <rPr>
        <sz val="10"/>
        <rFont val="宋体"/>
        <family val="3"/>
        <charset val="134"/>
      </rPr>
      <t>工号</t>
    </r>
    <r>
      <rPr>
        <sz val="10"/>
        <rFont val="Arial"/>
        <family val="2"/>
      </rPr>
      <t>&lt;/td&gt;
    &lt;td width=72&gt;$4$&lt;/td&gt;
    &lt;td width=138&gt;</t>
    </r>
    <r>
      <rPr>
        <sz val="10"/>
        <rFont val="宋体"/>
        <family val="3"/>
        <charset val="134"/>
      </rPr>
      <t>姓名</t>
    </r>
    <r>
      <rPr>
        <sz val="10"/>
        <rFont val="Arial"/>
        <family val="2"/>
      </rPr>
      <t>&lt;/td&gt;
    &lt;td width=138&gt;$5$&lt;/td&gt;
   &lt;/tr&gt;
   &lt;tr style="background-color:deepskyblue"&gt;
    &lt;td colspan="4"&gt;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）工资与奖金</t>
    </r>
    <r>
      <rPr>
        <sz val="10"/>
        <rFont val="Arial"/>
        <family val="2"/>
      </rPr>
      <t>&lt;/td&gt;
   &lt;/tr&gt;
   &lt;tr&gt;
    &lt;td height=24 width=138&gt;</t>
    </r>
    <r>
      <rPr>
        <sz val="10"/>
        <rFont val="宋体"/>
        <family val="3"/>
        <charset val="134"/>
      </rPr>
      <t>基本工资</t>
    </r>
    <r>
      <rPr>
        <sz val="10"/>
        <rFont val="Arial"/>
        <family val="2"/>
      </rPr>
      <t>&lt;/td&gt;
    &lt;td width=72&gt;$6$&lt;/td&gt;
    &lt;td width=138&gt;</t>
    </r>
    <r>
      <rPr>
        <sz val="10"/>
        <rFont val="宋体"/>
        <family val="3"/>
        <charset val="134"/>
      </rPr>
      <t>岗位工资</t>
    </r>
    <r>
      <rPr>
        <sz val="10"/>
        <rFont val="Arial"/>
        <family val="2"/>
      </rPr>
      <t>&lt;/td&gt;
    &lt;td width=138&gt;$7$&lt;/td&gt;
   &lt;/tr&gt;
   &lt;tr&gt;
&lt;td height=24 width=138&gt;</t>
    </r>
    <r>
      <rPr>
        <sz val="10"/>
        <rFont val="宋体"/>
        <family val="3"/>
        <charset val="134"/>
      </rPr>
      <t>奖金</t>
    </r>
    <r>
      <rPr>
        <sz val="10"/>
        <rFont val="Arial"/>
        <family val="2"/>
      </rPr>
      <t>&lt;/td&gt;
    &lt;td width=72&gt;$8$&lt;/td&gt;
    &lt;td width=138&gt;</t>
    </r>
    <r>
      <rPr>
        <sz val="10"/>
        <rFont val="宋体"/>
        <family val="3"/>
        <charset val="134"/>
      </rPr>
      <t>补以前月份差异</t>
    </r>
    <r>
      <rPr>
        <sz val="10"/>
        <rFont val="Arial"/>
        <family val="2"/>
      </rPr>
      <t>&lt;/td&gt;
    &lt;td width=138&gt;$9$&lt;/td&gt;
   &lt;/tr&gt;
    &lt;tr style="background-color:deepskyblue"&gt;
    &lt;td colspan="4"&gt;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）补助项目</t>
    </r>
    <r>
      <rPr>
        <sz val="10"/>
        <rFont val="Arial"/>
        <family val="2"/>
      </rPr>
      <t xml:space="preserve"> &lt;/td&gt;
   &lt;/tr&gt;
      &lt;tr&gt;
    &lt;td height=24 width=138&gt;</t>
    </r>
    <r>
      <rPr>
        <sz val="10"/>
        <rFont val="宋体"/>
        <family val="3"/>
        <charset val="134"/>
      </rPr>
      <t>电话补助</t>
    </r>
    <r>
      <rPr>
        <sz val="10"/>
        <rFont val="Arial"/>
        <family val="2"/>
      </rPr>
      <t>&lt;/td&gt;
    &lt;td width=72&gt;$10$&lt;/td&gt;
    &lt;td width=138&gt;</t>
    </r>
    <r>
      <rPr>
        <sz val="10"/>
        <rFont val="宋体"/>
        <family val="3"/>
        <charset val="134"/>
      </rPr>
      <t>交通补助</t>
    </r>
    <r>
      <rPr>
        <sz val="10"/>
        <rFont val="Arial"/>
        <family val="2"/>
      </rPr>
      <t>&lt;/td&gt;
    &lt;td width=138&gt;$11$&lt;/td&gt;
   &lt;/tr&gt;
      &lt;tr&gt;
    &lt;td height=24 width=138&gt;</t>
    </r>
    <r>
      <rPr>
        <sz val="10"/>
        <rFont val="宋体"/>
        <family val="3"/>
        <charset val="134"/>
      </rPr>
      <t>餐补</t>
    </r>
    <r>
      <rPr>
        <sz val="10"/>
        <rFont val="Arial"/>
        <family val="2"/>
      </rPr>
      <t>&lt;/td&gt;
    &lt;td width=72&gt;$12$&lt;/td&gt;
    &lt;td width=138&gt;</t>
    </r>
    <r>
      <rPr>
        <sz val="10"/>
        <rFont val="宋体"/>
        <family val="3"/>
        <charset val="134"/>
      </rPr>
      <t>电脑补助</t>
    </r>
    <r>
      <rPr>
        <sz val="10"/>
        <rFont val="Arial"/>
        <family val="2"/>
      </rPr>
      <t>&lt;/td&gt;
    &lt;td width=138&gt;$13$&lt;/td&gt;
   &lt;/tr&gt;
      &lt;tr&gt;
    &lt;td height=24 width=138&gt;</t>
    </r>
    <r>
      <rPr>
        <sz val="10"/>
        <rFont val="宋体"/>
        <family val="3"/>
        <charset val="134"/>
      </rPr>
      <t>补以前月份补贴</t>
    </r>
    <r>
      <rPr>
        <sz val="10"/>
        <rFont val="Arial"/>
        <family val="2"/>
      </rPr>
      <t>&lt;/td&gt;
    &lt;td width=72&gt;$14$&lt;/td&gt;
    &lt;td width=138&gt;</t>
    </r>
    <r>
      <rPr>
        <sz val="10"/>
        <rFont val="宋体"/>
        <family val="3"/>
        <charset val="134"/>
      </rPr>
      <t>补多扣社保公积金</t>
    </r>
    <r>
      <rPr>
        <sz val="10"/>
        <rFont val="Arial"/>
        <family val="2"/>
      </rPr>
      <t>&lt;/td&gt;
    &lt;td width=138&gt;$15$&lt;/td&gt;
   &lt;/tr&gt;
   &lt;tr style="background-color:deepskyblue"&gt;
    &lt;td colspan="4"&gt;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）扣款项目</t>
    </r>
    <r>
      <rPr>
        <sz val="10"/>
        <rFont val="Arial"/>
        <family val="2"/>
      </rPr>
      <t>&lt;/td&gt;
   &lt;/tr&gt;
   &lt;tr&gt;
    &lt;td height=24 width=138&gt;</t>
    </r>
    <r>
      <rPr>
        <sz val="10"/>
        <rFont val="宋体"/>
        <family val="3"/>
        <charset val="134"/>
      </rPr>
      <t>扣房租及个人借款</t>
    </r>
    <r>
      <rPr>
        <sz val="10"/>
        <rFont val="Arial"/>
        <family val="2"/>
      </rPr>
      <t>&lt;/td&gt;
    &lt;td width=72&gt;$16$&lt;/td&gt;
    &lt;td width=138&gt;</t>
    </r>
    <r>
      <rPr>
        <sz val="10"/>
        <rFont val="宋体"/>
        <family val="3"/>
        <charset val="134"/>
      </rPr>
      <t>扣特殊公积金</t>
    </r>
    <r>
      <rPr>
        <sz val="10"/>
        <rFont val="Arial"/>
        <family val="2"/>
      </rPr>
      <t>&lt;/td&gt;
    &lt;td width=138&gt;$17$&lt;/td&gt;
   &lt;/tr&gt;
   &lt;tr&gt;
    &lt;td height=24 width=138&gt;</t>
    </r>
    <r>
      <rPr>
        <sz val="10"/>
        <rFont val="宋体"/>
        <family val="3"/>
        <charset val="134"/>
      </rPr>
      <t>扣养老保险</t>
    </r>
    <r>
      <rPr>
        <sz val="10"/>
        <rFont val="Arial"/>
        <family val="2"/>
      </rPr>
      <t>&lt;/td&gt;
    &lt;td width=72&gt;$18$&lt;/td&gt;
    &lt;td width=138&gt;</t>
    </r>
    <r>
      <rPr>
        <sz val="10"/>
        <rFont val="宋体"/>
        <family val="3"/>
        <charset val="134"/>
      </rPr>
      <t>扣公积金</t>
    </r>
    <r>
      <rPr>
        <sz val="10"/>
        <rFont val="Arial"/>
        <family val="2"/>
      </rPr>
      <t>&lt;/td&gt;
    &lt;td width=138&gt;$19$&lt;/td&gt;
   &lt;/tr&gt;
   &lt;tr&gt;
    &lt;td height=24 width=138&gt;</t>
    </r>
    <r>
      <rPr>
        <sz val="10"/>
        <rFont val="宋体"/>
        <family val="3"/>
        <charset val="134"/>
      </rPr>
      <t>扣失业保险</t>
    </r>
    <r>
      <rPr>
        <sz val="10"/>
        <rFont val="Arial"/>
        <family val="2"/>
      </rPr>
      <t>&lt;/td&gt;
    &lt;td width=72&gt;$20$&lt;/td&gt;
    &lt;td width=138&gt;</t>
    </r>
    <r>
      <rPr>
        <sz val="10"/>
        <rFont val="宋体"/>
        <family val="3"/>
        <charset val="134"/>
      </rPr>
      <t>扣医疗保险</t>
    </r>
    <r>
      <rPr>
        <sz val="10"/>
        <rFont val="Arial"/>
        <family val="2"/>
      </rPr>
      <t>&lt;/td&gt;
    &lt;td width=138&gt;$21$&lt;/td&gt;
   &lt;/tr&gt;
   &lt;tr&gt;
    &lt;td height=24 width=138&gt;</t>
    </r>
    <r>
      <rPr>
        <sz val="10"/>
        <rFont val="宋体"/>
        <family val="3"/>
        <charset val="134"/>
      </rPr>
      <t>补扣社保公积金款</t>
    </r>
    <r>
      <rPr>
        <sz val="10"/>
        <rFont val="Arial"/>
        <family val="2"/>
      </rPr>
      <t>&lt;/td&gt;
    &lt;td width=72&gt;$22$&lt;/td&gt;
    &lt;td width=138&gt;</t>
    </r>
    <r>
      <rPr>
        <sz val="10"/>
        <rFont val="宋体"/>
        <family val="3"/>
        <charset val="134"/>
      </rPr>
      <t>考勤等扣薪金额</t>
    </r>
    <r>
      <rPr>
        <sz val="10"/>
        <rFont val="Arial"/>
        <family val="2"/>
      </rPr>
      <t>&lt;/td&gt;
    &lt;td width=138&gt;$23$&lt;/td&gt;
   &lt;/tr&gt;
   &lt;tr style="background-color:deepskyblue"&gt;
    &lt;td colspan="2"&gt;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）应发金额</t>
    </r>
    <r>
      <rPr>
        <sz val="10"/>
        <rFont val="Arial"/>
        <family val="2"/>
      </rPr>
      <t>&lt;/td&gt;
    &lt;td colspan="2"&gt;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）应纳税所得额</t>
    </r>
    <r>
      <rPr>
        <sz val="10"/>
        <rFont val="Arial"/>
        <family val="2"/>
      </rPr>
      <t>&lt;/td&gt;
   &lt;/tr&gt;
   &lt;tr&gt;
    &lt;td colspan="2" &gt;$24$&lt;/td&gt;
    &lt;td colspan="2" &gt;$25$&lt;/td&gt;
   &lt;/tr&gt;
   &lt;tr style="background-color:deepskyblue"&gt;
    &lt;td colspan="2"&gt;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6</t>
    </r>
    <r>
      <rPr>
        <sz val="10"/>
        <rFont val="宋体"/>
        <family val="3"/>
        <charset val="134"/>
      </rPr>
      <t>）扣个人所得税</t>
    </r>
    <r>
      <rPr>
        <sz val="10"/>
        <rFont val="Arial"/>
        <family val="2"/>
      </rPr>
      <t>&lt;/td&gt;
    &lt;td colspan="2"&gt;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7</t>
    </r>
    <r>
      <rPr>
        <sz val="10"/>
        <rFont val="宋体"/>
        <family val="3"/>
        <charset val="134"/>
      </rPr>
      <t>）实发金额</t>
    </r>
    <r>
      <rPr>
        <sz val="10"/>
        <rFont val="Arial"/>
        <family val="2"/>
      </rPr>
      <t xml:space="preserve">&lt;/td&gt;
   &lt;/tr&gt;
   &lt;tr&gt;
    &lt;td colspan="2" &gt;$26$&lt;/td&gt;
    &lt;td colspan="2" &gt;$27$&lt;/td&gt;
   &lt;/tr&gt;
  &lt;/table&gt;
  &lt;/td&gt;&lt;/tr&gt;
  &lt;tr&gt;&lt;td&gt;
&lt;p&gt;
 </t>
    </r>
    <r>
      <rPr>
        <sz val="10"/>
        <rFont val="宋体"/>
        <family val="3"/>
        <charset val="134"/>
      </rPr>
      <t>说明：</t>
    </r>
    <r>
      <rPr>
        <sz val="10"/>
        <rFont val="Arial"/>
        <family val="2"/>
      </rPr>
      <t>&lt;br /&gt;
1</t>
    </r>
    <r>
      <rPr>
        <sz val="10"/>
        <rFont val="宋体"/>
        <family val="3"/>
        <charset val="134"/>
      </rPr>
      <t>、（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）应发金额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）；</t>
    </r>
    <r>
      <rPr>
        <sz val="10"/>
        <rFont val="Arial"/>
        <family val="2"/>
      </rPr>
      <t>&lt;br /&gt;
2</t>
    </r>
    <r>
      <rPr>
        <sz val="10"/>
        <rFont val="宋体"/>
        <family val="3"/>
        <charset val="134"/>
      </rPr>
      <t>、（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）应纳税所得额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）（电话补助</t>
    </r>
    <r>
      <rPr>
        <sz val="10"/>
        <rFont val="Arial"/>
        <family val="2"/>
      </rPr>
      <t>*20%+</t>
    </r>
    <r>
      <rPr>
        <sz val="10"/>
        <rFont val="宋体"/>
        <family val="3"/>
        <charset val="134"/>
      </rPr>
      <t>交通补助</t>
    </r>
    <r>
      <rPr>
        <sz val="10"/>
        <rFont val="Arial"/>
        <family val="2"/>
      </rPr>
      <t>*30%+</t>
    </r>
    <r>
      <rPr>
        <sz val="10"/>
        <rFont val="宋体"/>
        <family val="3"/>
        <charset val="134"/>
      </rPr>
      <t>其他补）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个税起征点（</t>
    </r>
    <r>
      <rPr>
        <sz val="10"/>
        <rFont val="Arial"/>
        <family val="2"/>
      </rPr>
      <t>3500</t>
    </r>
    <r>
      <rPr>
        <sz val="10"/>
        <rFont val="宋体"/>
        <family val="3"/>
        <charset val="134"/>
      </rPr>
      <t>）；</t>
    </r>
    <r>
      <rPr>
        <sz val="10"/>
        <rFont val="Arial"/>
        <family val="2"/>
      </rPr>
      <t>&lt;br /&gt;
3</t>
    </r>
    <r>
      <rPr>
        <sz val="10"/>
        <rFont val="宋体"/>
        <family val="3"/>
        <charset val="134"/>
      </rPr>
      <t>、代扣的个人所得税依据</t>
    </r>
    <r>
      <rPr>
        <sz val="10"/>
        <rFont val="Arial"/>
        <family val="2"/>
      </rPr>
      <t>2011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>9</t>
    </r>
    <r>
      <rPr>
        <sz val="10"/>
        <rFont val="宋体"/>
        <family val="3"/>
        <charset val="134"/>
      </rPr>
      <t>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日实施的《个人所得税法》及实施条例计算；</t>
    </r>
    <r>
      <rPr>
        <sz val="10"/>
        <rFont val="Arial"/>
        <family val="2"/>
      </rPr>
      <t>&lt;br /&gt;
4</t>
    </r>
    <r>
      <rPr>
        <sz val="10"/>
        <rFont val="宋体"/>
        <family val="3"/>
        <charset val="134"/>
      </rPr>
      <t>、（</t>
    </r>
    <r>
      <rPr>
        <sz val="10"/>
        <rFont val="Arial"/>
        <family val="2"/>
      </rPr>
      <t>7</t>
    </r>
    <r>
      <rPr>
        <sz val="10"/>
        <rFont val="宋体"/>
        <family val="3"/>
        <charset val="134"/>
      </rPr>
      <t>）实发金额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6</t>
    </r>
    <r>
      <rPr>
        <sz val="10"/>
        <rFont val="宋体"/>
        <family val="3"/>
        <charset val="134"/>
      </rPr>
      <t>）；</t>
    </r>
    <r>
      <rPr>
        <sz val="10"/>
        <rFont val="Arial"/>
        <family val="2"/>
      </rPr>
      <t>&lt;br /&gt;
&lt;/p&gt;
&lt;/td&gt;&lt;/tr&gt;
&lt;/table&gt;
 &lt;/body&gt;
&lt;/html&gt;</t>
    </r>
    <phoneticPr fontId="1" type="noConversion"/>
  </si>
  <si>
    <t>发工资月份</t>
    <phoneticPr fontId="1" type="noConversion"/>
  </si>
  <si>
    <t>发工资日</t>
    <phoneticPr fontId="1" type="noConversion"/>
  </si>
  <si>
    <t>这行别改</t>
    <phoneticPr fontId="1" type="noConversion"/>
  </si>
  <si>
    <t>发件人邮箱地址，必须填写</t>
    <phoneticPr fontId="1" type="noConversion"/>
  </si>
  <si>
    <t>必须填写</t>
    <phoneticPr fontId="1" type="noConversion"/>
  </si>
  <si>
    <t>发件人邮箱密码，必须填写，否则失败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</si>
</sst>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_ "/>
  </numFmts>
  <fonts count="10" x14ac:knownFonts="1">
    <font>
      <sz val="10"/>
      <name val="Arial"/>
      <family val="2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name val="Arial"/>
      <family val="2"/>
    </font>
    <font>
      <b/>
      <sz val="10"/>
      <name val="宋体"/>
      <family val="3"/>
      <charset val="134"/>
    </font>
    <font>
      <b/>
      <sz val="10"/>
      <name val="Arial"/>
      <family val="2"/>
    </font>
    <font>
      <sz val="9"/>
      <name val="Arial"/>
      <family val="2"/>
    </font>
    <font>
      <sz val="10"/>
      <name val="宋体"/>
      <family val="3"/>
      <charset val="134"/>
    </font>
    <font>
      <u/>
      <sz val="10"/>
      <color theme="10"/>
      <name val="Arial"/>
      <family val="2"/>
    </font>
    <font>
      <sz val="10"/>
      <color rgb="FF000000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3" fillId="0" borderId="0">
      <alignment vertical="center"/>
    </xf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0" fontId="5" fillId="0" borderId="9" xfId="1" applyFont="1" applyBorder="1" applyAlignment="1">
      <alignment horizontal="center" vertical="center" wrapText="1"/>
    </xf>
    <xf numFmtId="0" fontId="5" fillId="0" borderId="10" xfId="1" applyFont="1" applyBorder="1" applyAlignment="1">
      <alignment horizontal="center" vertical="center" wrapText="1"/>
    </xf>
    <xf numFmtId="0" fontId="4" fillId="0" borderId="10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0" xfId="1" applyAlignment="1"/>
    <xf numFmtId="0" fontId="7" fillId="0" borderId="0" xfId="1" applyFont="1" applyAlignment="1"/>
    <xf numFmtId="0" fontId="3" fillId="0" borderId="0" xfId="1" applyAlignment="1">
      <alignment horizontal="center"/>
    </xf>
    <xf numFmtId="0" fontId="8" fillId="0" borderId="9" xfId="2" applyFill="1" applyBorder="1" applyAlignment="1">
      <alignment horizontal="center" vertical="center" wrapText="1"/>
    </xf>
    <xf numFmtId="0" fontId="7" fillId="0" borderId="0" xfId="0" applyFont="1"/>
    <xf numFmtId="0" fontId="8" fillId="0" borderId="0" xfId="2"/>
    <xf numFmtId="0" fontId="7" fillId="5" borderId="0" xfId="0" applyFont="1" applyFill="1"/>
    <xf numFmtId="0" fontId="0" fillId="5" borderId="0" xfId="0" applyFill="1" applyAlignment="1">
      <alignment wrapText="1"/>
    </xf>
    <xf numFmtId="0" fontId="3" fillId="0" borderId="9" xfId="0" applyFont="1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64" fontId="3" fillId="0" borderId="10" xfId="0" applyNumberFormat="1" applyFont="1" applyBorder="1" applyAlignment="1">
      <alignment horizontal="center" vertical="center" wrapText="1"/>
    </xf>
    <xf numFmtId="2" fontId="3" fillId="0" borderId="10" xfId="0" applyNumberFormat="1" applyFont="1" applyBorder="1" applyAlignment="1">
      <alignment horizontal="center" vertical="center" wrapText="1"/>
    </xf>
    <xf numFmtId="2" fontId="3" fillId="0" borderId="11" xfId="0" applyNumberFormat="1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" fontId="3" fillId="3" borderId="10" xfId="0" applyNumberFormat="1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2" fontId="3" fillId="3" borderId="11" xfId="0" applyNumberFormat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4</xdr:row>
          <xdr:rowOff>104775</xdr:rowOff>
        </xdr:from>
        <xdr:to>
          <xdr:col>6</xdr:col>
          <xdr:colOff>142875</xdr:colOff>
          <xdr:row>7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点我发送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AF9"/>
  <sheetViews>
    <sheetView workbookViewId="0">
      <pane xSplit="5" ySplit="1" topLeftCell="Q2" activePane="bottomRight" state="frozen"/>
      <selection activeCell="B28" sqref="B28"/>
      <selection pane="topRight" activeCell="B28" sqref="B28"/>
      <selection pane="bottomLeft" activeCell="B28" sqref="B28"/>
      <selection pane="bottomRight" activeCell="B2" sqref="B2:AE8"/>
    </sheetView>
  </sheetViews>
  <sheetFormatPr defaultColWidth="9" defaultRowHeight="12.75" x14ac:dyDescent="0.2"/>
  <cols>
    <col min="1" max="1" width="3.7109375" style="12" bestFit="1" customWidth="1"/>
    <col min="2" max="2" width="5.28515625" style="12" customWidth="1"/>
    <col min="3" max="3" width="10.42578125" style="12" customWidth="1"/>
    <col min="4" max="4" width="9.140625" style="14" customWidth="1"/>
    <col min="5" max="5" width="15.85546875" style="14" customWidth="1"/>
    <col min="6" max="6" width="9.85546875" style="14" customWidth="1"/>
    <col min="7" max="7" width="9.140625" style="14" customWidth="1"/>
    <col min="8" max="8" width="9.140625" style="12" customWidth="1"/>
    <col min="9" max="9" width="8.42578125" style="12" customWidth="1"/>
    <col min="10" max="10" width="10.42578125" style="12" customWidth="1"/>
    <col min="11" max="11" width="11" style="12" customWidth="1"/>
    <col min="12" max="12" width="9.28515625" style="12" customWidth="1"/>
    <col min="13" max="13" width="15.28515625" style="12" customWidth="1"/>
    <col min="14" max="14" width="11" style="12" customWidth="1"/>
    <col min="15" max="15" width="10.28515625" style="12" customWidth="1"/>
    <col min="16" max="16" width="11.5703125" style="12" customWidth="1"/>
    <col min="17" max="23" width="9.140625" style="12" customWidth="1"/>
    <col min="24" max="24" width="10.42578125" style="12" customWidth="1"/>
    <col min="25" max="25" width="12.7109375" style="12" customWidth="1"/>
    <col min="26" max="26" width="12.28515625" style="12" customWidth="1"/>
    <col min="27" max="27" width="11.5703125" style="12" customWidth="1"/>
    <col min="28" max="28" width="14.5703125" style="12" customWidth="1"/>
    <col min="29" max="29" width="21.28515625" style="12" customWidth="1"/>
    <col min="30" max="30" width="25.85546875" style="12" customWidth="1"/>
    <col min="31" max="31" width="24.7109375" style="12" customWidth="1"/>
    <col min="32" max="16384" width="9" style="12"/>
  </cols>
  <sheetData>
    <row r="1" spans="1:32" s="11" customFormat="1" ht="38.25" x14ac:dyDescent="0.2">
      <c r="A1" s="5" t="s">
        <v>34</v>
      </c>
      <c r="B1" s="6" t="s">
        <v>35</v>
      </c>
      <c r="C1" s="6" t="s">
        <v>0</v>
      </c>
      <c r="D1" s="6" t="s">
        <v>36</v>
      </c>
      <c r="E1" s="6" t="s">
        <v>37</v>
      </c>
      <c r="F1" s="7" t="s">
        <v>3</v>
      </c>
      <c r="G1" s="7" t="s">
        <v>4</v>
      </c>
      <c r="H1" s="7" t="s">
        <v>6</v>
      </c>
      <c r="I1" s="7" t="s">
        <v>5</v>
      </c>
      <c r="J1" s="7" t="s">
        <v>38</v>
      </c>
      <c r="K1" s="7" t="s">
        <v>39</v>
      </c>
      <c r="L1" s="7" t="s">
        <v>40</v>
      </c>
      <c r="M1" s="7" t="s">
        <v>41</v>
      </c>
      <c r="N1" s="7" t="s">
        <v>42</v>
      </c>
      <c r="O1" s="8" t="s">
        <v>43</v>
      </c>
      <c r="P1" s="7" t="s">
        <v>44</v>
      </c>
      <c r="Q1" s="7" t="s">
        <v>45</v>
      </c>
      <c r="R1" s="8" t="s">
        <v>46</v>
      </c>
      <c r="S1" s="7" t="s">
        <v>17</v>
      </c>
      <c r="T1" s="7" t="s">
        <v>47</v>
      </c>
      <c r="U1" s="7" t="s">
        <v>18</v>
      </c>
      <c r="V1" s="7" t="s">
        <v>21</v>
      </c>
      <c r="W1" s="7" t="s">
        <v>20</v>
      </c>
      <c r="X1" s="7" t="s">
        <v>48</v>
      </c>
      <c r="Y1" s="7" t="s">
        <v>49</v>
      </c>
      <c r="Z1" s="7" t="s">
        <v>50</v>
      </c>
      <c r="AA1" s="7" t="s">
        <v>51</v>
      </c>
      <c r="AB1" s="9" t="s">
        <v>52</v>
      </c>
      <c r="AC1" s="10" t="s">
        <v>53</v>
      </c>
      <c r="AD1" s="10" t="s">
        <v>54</v>
      </c>
      <c r="AE1" s="10" t="s">
        <v>55</v>
      </c>
      <c r="AF1" s="5" t="s">
        <v>56</v>
      </c>
    </row>
    <row r="2" spans="1:32" s="28" customFormat="1" ht="14.25" customHeight="1" x14ac:dyDescent="0.2">
      <c r="A2" s="20">
        <v>1</v>
      </c>
      <c r="B2" s="20"/>
      <c r="C2" s="21"/>
      <c r="D2" s="21"/>
      <c r="E2" s="22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R2" s="23"/>
      <c r="S2" s="23"/>
      <c r="T2" s="23"/>
      <c r="U2" s="23"/>
      <c r="V2" s="23"/>
      <c r="W2" s="23"/>
      <c r="X2" s="25"/>
      <c r="Y2" s="25"/>
      <c r="Z2" s="25"/>
      <c r="AA2" s="23"/>
      <c r="AB2" s="26"/>
      <c r="AC2" s="27"/>
      <c r="AD2" s="27"/>
      <c r="AE2" s="15"/>
      <c r="AF2" s="27"/>
    </row>
    <row r="3" spans="1:32" s="28" customFormat="1" ht="14.25" customHeight="1" x14ac:dyDescent="0.2">
      <c r="A3" s="21">
        <v>2</v>
      </c>
      <c r="B3" s="20"/>
      <c r="C3" s="21"/>
      <c r="D3" s="21"/>
      <c r="E3" s="22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4"/>
      <c r="R3" s="23"/>
      <c r="S3" s="23"/>
      <c r="T3" s="23"/>
      <c r="U3" s="23"/>
      <c r="V3" s="23"/>
      <c r="W3" s="23"/>
      <c r="X3" s="29"/>
      <c r="Y3" s="29"/>
      <c r="Z3" s="29"/>
      <c r="AA3" s="30"/>
      <c r="AB3" s="31"/>
      <c r="AC3" s="27"/>
      <c r="AD3" s="27"/>
      <c r="AE3" s="15"/>
      <c r="AF3" s="21"/>
    </row>
    <row r="4" spans="1:32" s="28" customFormat="1" ht="14.25" customHeight="1" x14ac:dyDescent="0.2">
      <c r="A4" s="20">
        <v>3</v>
      </c>
      <c r="B4" s="20"/>
      <c r="C4" s="21"/>
      <c r="D4" s="21"/>
      <c r="E4" s="22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4"/>
      <c r="R4" s="23"/>
      <c r="S4" s="23"/>
      <c r="T4" s="23"/>
      <c r="U4" s="23"/>
      <c r="V4" s="23"/>
      <c r="W4" s="23"/>
      <c r="X4" s="29"/>
      <c r="Y4" s="29"/>
      <c r="Z4" s="29"/>
      <c r="AA4" s="30"/>
      <c r="AB4" s="31"/>
      <c r="AC4" s="27"/>
      <c r="AD4" s="27"/>
      <c r="AE4" s="15"/>
      <c r="AF4" s="21"/>
    </row>
    <row r="5" spans="1:32" s="28" customFormat="1" ht="14.25" customHeight="1" x14ac:dyDescent="0.2">
      <c r="A5" s="21">
        <v>4</v>
      </c>
      <c r="B5" s="20"/>
      <c r="C5" s="21"/>
      <c r="D5" s="21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4"/>
      <c r="R5" s="23"/>
      <c r="S5" s="23"/>
      <c r="T5" s="23"/>
      <c r="U5" s="23"/>
      <c r="V5" s="23"/>
      <c r="W5" s="23"/>
      <c r="X5" s="29"/>
      <c r="Y5" s="29"/>
      <c r="Z5" s="29"/>
      <c r="AA5" s="30"/>
      <c r="AB5" s="31"/>
      <c r="AC5" s="27"/>
      <c r="AD5" s="27"/>
      <c r="AE5" s="15"/>
      <c r="AF5" s="21"/>
    </row>
    <row r="6" spans="1:32" s="28" customFormat="1" ht="14.25" customHeight="1" x14ac:dyDescent="0.2">
      <c r="A6" s="20">
        <v>5</v>
      </c>
      <c r="B6" s="20"/>
      <c r="C6" s="21"/>
      <c r="D6" s="21"/>
      <c r="E6" s="22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4"/>
      <c r="R6" s="23"/>
      <c r="S6" s="23"/>
      <c r="T6" s="23"/>
      <c r="U6" s="23"/>
      <c r="V6" s="23"/>
      <c r="W6" s="23"/>
      <c r="X6" s="29"/>
      <c r="Y6" s="29"/>
      <c r="Z6" s="29"/>
      <c r="AA6" s="30"/>
      <c r="AB6" s="31"/>
      <c r="AC6" s="27"/>
      <c r="AD6" s="27"/>
      <c r="AE6" s="15"/>
      <c r="AF6" s="21"/>
    </row>
    <row r="7" spans="1:32" s="28" customFormat="1" ht="14.25" customHeight="1" x14ac:dyDescent="0.2">
      <c r="A7" s="21">
        <v>6</v>
      </c>
      <c r="B7" s="20"/>
      <c r="C7" s="21"/>
      <c r="D7" s="21"/>
      <c r="E7" s="22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4"/>
      <c r="R7" s="23"/>
      <c r="S7" s="23"/>
      <c r="T7" s="23"/>
      <c r="U7" s="23"/>
      <c r="V7" s="23"/>
      <c r="W7" s="23"/>
      <c r="X7" s="29"/>
      <c r="Y7" s="29"/>
      <c r="Z7" s="29"/>
      <c r="AA7" s="30"/>
      <c r="AB7" s="31"/>
      <c r="AC7" s="27"/>
      <c r="AD7" s="27"/>
      <c r="AE7" s="15"/>
      <c r="AF7" s="21"/>
    </row>
    <row r="8" spans="1:32" s="28" customFormat="1" ht="14.25" customHeight="1" x14ac:dyDescent="0.2">
      <c r="A8" s="20">
        <v>7</v>
      </c>
      <c r="B8" s="20"/>
      <c r="C8" s="21"/>
      <c r="D8" s="21"/>
      <c r="E8" s="22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4"/>
      <c r="R8" s="23"/>
      <c r="S8" s="23"/>
      <c r="T8" s="23"/>
      <c r="U8" s="23"/>
      <c r="V8" s="23"/>
      <c r="W8" s="23"/>
      <c r="X8" s="29"/>
      <c r="Y8" s="29"/>
      <c r="Z8" s="29"/>
      <c r="AA8" s="30"/>
      <c r="AB8" s="31"/>
      <c r="AC8" s="27"/>
      <c r="AD8" s="27"/>
      <c r="AE8" s="15"/>
      <c r="AF8" s="21"/>
    </row>
    <row r="9" spans="1:32" x14ac:dyDescent="0.2">
      <c r="C9" s="13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-0.249977111117893"/>
  </sheetPr>
  <dimension ref="A1:D17"/>
  <sheetViews>
    <sheetView workbookViewId="0">
      <selection activeCell="F13" sqref="F13"/>
    </sheetView>
  </sheetViews>
  <sheetFormatPr defaultRowHeight="12.75" x14ac:dyDescent="0.2"/>
  <cols>
    <col min="1" max="1" width="20" bestFit="1" customWidth="1"/>
    <col min="2" max="2" width="13.85546875" customWidth="1"/>
    <col min="3" max="3" width="20" bestFit="1" customWidth="1"/>
    <col min="4" max="4" width="22.85546875" customWidth="1"/>
  </cols>
  <sheetData>
    <row r="1" spans="1:4" ht="14.25" thickBot="1" x14ac:dyDescent="0.25">
      <c r="A1" s="1" t="s">
        <v>0</v>
      </c>
      <c r="B1" s="2" t="s">
        <v>59</v>
      </c>
      <c r="C1" s="2" t="s">
        <v>1</v>
      </c>
      <c r="D1" s="2" t="e">
        <f>VLOOKUP(B1,工资明细!C:AZ,2)</f>
        <v>#N/A</v>
      </c>
    </row>
    <row r="2" spans="1:4" ht="14.25" thickBot="1" x14ac:dyDescent="0.25">
      <c r="A2" s="32" t="s">
        <v>2</v>
      </c>
      <c r="B2" s="38"/>
      <c r="C2" s="38"/>
      <c r="D2" s="33"/>
    </row>
    <row r="3" spans="1:4" ht="14.25" thickBot="1" x14ac:dyDescent="0.25">
      <c r="A3" s="3" t="s">
        <v>3</v>
      </c>
      <c r="B3" s="2" t="e">
        <f>VLOOKUP(B1,工资明细!C:AZ,4)</f>
        <v>#N/A</v>
      </c>
      <c r="C3" s="4" t="s">
        <v>4</v>
      </c>
      <c r="D3" s="4" t="e">
        <f>VLOOKUP(B1,工资明细!C:AZ,5)</f>
        <v>#N/A</v>
      </c>
    </row>
    <row r="4" spans="1:4" ht="14.25" thickBot="1" x14ac:dyDescent="0.25">
      <c r="A4" s="3" t="s">
        <v>5</v>
      </c>
      <c r="B4" s="4" t="e">
        <f>VLOOKUP(B1,工资明细!C:AZ,7)</f>
        <v>#N/A</v>
      </c>
      <c r="C4" s="4" t="s">
        <v>6</v>
      </c>
      <c r="D4" s="4" t="e">
        <f>VLOOKUP(B1,工资明细!C:AZ,15)</f>
        <v>#N/A</v>
      </c>
    </row>
    <row r="5" spans="1:4" ht="14.25" thickBot="1" x14ac:dyDescent="0.25">
      <c r="A5" s="32" t="s">
        <v>7</v>
      </c>
      <c r="B5" s="38"/>
      <c r="C5" s="38"/>
      <c r="D5" s="33"/>
    </row>
    <row r="6" spans="1:4" ht="14.25" thickBot="1" x14ac:dyDescent="0.25">
      <c r="A6" s="3" t="s">
        <v>8</v>
      </c>
      <c r="B6" s="4" t="e">
        <f>VLOOKUP(B1,工资明细!C:AZ,8)</f>
        <v>#N/A</v>
      </c>
      <c r="C6" s="4" t="s">
        <v>9</v>
      </c>
      <c r="D6" s="4" t="e">
        <f>VLOOKUP(B1,工资明细!C:AZ,9)</f>
        <v>#N/A</v>
      </c>
    </row>
    <row r="7" spans="1:4" ht="14.25" thickBot="1" x14ac:dyDescent="0.25">
      <c r="A7" s="3" t="s">
        <v>10</v>
      </c>
      <c r="B7" s="4" t="e">
        <f>VLOOKUP(B1,工资明细!C:AZ,11)</f>
        <v>#N/A</v>
      </c>
      <c r="C7" s="4" t="s">
        <v>11</v>
      </c>
      <c r="D7" s="4" t="e">
        <f>VLOOKUP(B1,工资明细!C:AZ,10)</f>
        <v>#N/A</v>
      </c>
    </row>
    <row r="8" spans="1:4" ht="14.25" thickBot="1" x14ac:dyDescent="0.25">
      <c r="A8" s="3" t="s">
        <v>12</v>
      </c>
      <c r="B8" s="4" t="e">
        <f>VLOOKUP(B1,工资明细!C:AZ,12)</f>
        <v>#N/A</v>
      </c>
      <c r="C8" s="4" t="s">
        <v>13</v>
      </c>
      <c r="D8" s="4" t="e">
        <f>VLOOKUP(B1,工资明细!C:AZ,16)</f>
        <v>#N/A</v>
      </c>
    </row>
    <row r="9" spans="1:4" ht="14.25" thickBot="1" x14ac:dyDescent="0.25">
      <c r="A9" s="32" t="s">
        <v>14</v>
      </c>
      <c r="B9" s="38"/>
      <c r="C9" s="38"/>
      <c r="D9" s="33"/>
    </row>
    <row r="10" spans="1:4" ht="14.25" thickBot="1" x14ac:dyDescent="0.25">
      <c r="A10" s="3" t="s">
        <v>15</v>
      </c>
      <c r="B10" s="4" t="s">
        <v>16</v>
      </c>
      <c r="C10" s="4" t="s">
        <v>17</v>
      </c>
      <c r="D10" s="4" t="e">
        <f>VLOOKUP(B1,工资明细!C:AZ,17)</f>
        <v>#N/A</v>
      </c>
    </row>
    <row r="11" spans="1:4" ht="14.25" thickBot="1" x14ac:dyDescent="0.25">
      <c r="A11" s="3" t="s">
        <v>18</v>
      </c>
      <c r="B11" s="4" t="e">
        <f>VLOOKUP(B1,工资明细!C:AZ,19)</f>
        <v>#N/A</v>
      </c>
      <c r="C11" s="4" t="s">
        <v>19</v>
      </c>
      <c r="D11" s="4" t="e">
        <f>VLOOKUP(B1,工资明细!C:AZ,18)</f>
        <v>#N/A</v>
      </c>
    </row>
    <row r="12" spans="1:4" ht="14.25" thickBot="1" x14ac:dyDescent="0.25">
      <c r="A12" s="3" t="s">
        <v>20</v>
      </c>
      <c r="B12" s="4" t="e">
        <f>VLOOKUP(B1,工资明细!C:AZ,21)</f>
        <v>#N/A</v>
      </c>
      <c r="C12" s="4" t="s">
        <v>21</v>
      </c>
      <c r="D12" s="4" t="e">
        <f>VLOOKUP(B1,工资明细!C:AZ,20)</f>
        <v>#N/A</v>
      </c>
    </row>
    <row r="13" spans="1:4" ht="14.25" thickBot="1" x14ac:dyDescent="0.25">
      <c r="A13" s="3" t="s">
        <v>22</v>
      </c>
      <c r="B13" s="4" t="s">
        <v>23</v>
      </c>
      <c r="C13" s="4" t="s">
        <v>24</v>
      </c>
      <c r="D13" s="4" t="s">
        <v>25</v>
      </c>
    </row>
    <row r="14" spans="1:4" ht="14.25" thickBot="1" x14ac:dyDescent="0.25">
      <c r="A14" s="32" t="s">
        <v>26</v>
      </c>
      <c r="B14" s="33"/>
      <c r="C14" s="34" t="s">
        <v>27</v>
      </c>
      <c r="D14" s="33"/>
    </row>
    <row r="15" spans="1:4" ht="14.25" thickBot="1" x14ac:dyDescent="0.25">
      <c r="A15" s="35" t="s">
        <v>28</v>
      </c>
      <c r="B15" s="36"/>
      <c r="C15" s="37" t="s">
        <v>29</v>
      </c>
      <c r="D15" s="36"/>
    </row>
    <row r="16" spans="1:4" ht="14.25" thickBot="1" x14ac:dyDescent="0.25">
      <c r="A16" s="32" t="s">
        <v>30</v>
      </c>
      <c r="B16" s="33"/>
      <c r="C16" s="34" t="s">
        <v>31</v>
      </c>
      <c r="D16" s="33"/>
    </row>
    <row r="17" spans="1:4" ht="14.25" thickBot="1" x14ac:dyDescent="0.25">
      <c r="A17" s="35" t="s">
        <v>32</v>
      </c>
      <c r="B17" s="36"/>
      <c r="C17" s="37" t="s">
        <v>33</v>
      </c>
      <c r="D17" s="36"/>
    </row>
  </sheetData>
  <mergeCells count="11">
    <mergeCell ref="A16:B16"/>
    <mergeCell ref="C16:D16"/>
    <mergeCell ref="A17:B17"/>
    <mergeCell ref="C17:D17"/>
    <mergeCell ref="A2:D2"/>
    <mergeCell ref="A5:D5"/>
    <mergeCell ref="A9:D9"/>
    <mergeCell ref="A14:B14"/>
    <mergeCell ref="C14:D14"/>
    <mergeCell ref="A15:B15"/>
    <mergeCell ref="C15:D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A1:C5"/>
  <sheetViews>
    <sheetView tabSelected="1" workbookViewId="0">
      <selection activeCell="B1" sqref="B1"/>
    </sheetView>
  </sheetViews>
  <sheetFormatPr defaultRowHeight="12.75" x14ac:dyDescent="0.2"/>
  <cols>
    <col min="1" max="1" width="13.85546875" customWidth="1"/>
    <col min="2" max="2" width="30.7109375" customWidth="1"/>
    <col min="3" max="3" width="27.140625" customWidth="1"/>
  </cols>
  <sheetData>
    <row r="1" spans="1:3" x14ac:dyDescent="0.2">
      <c r="A1" s="16" t="s">
        <v>57</v>
      </c>
      <c r="B1" s="17"/>
      <c r="C1" s="16" t="s">
        <v>65</v>
      </c>
    </row>
    <row r="2" spans="1:3" x14ac:dyDescent="0.2">
      <c r="A2" s="16" t="s">
        <v>58</v>
      </c>
      <c r="B2" s="17"/>
      <c r="C2" s="16" t="s">
        <v>67</v>
      </c>
    </row>
    <row r="3" spans="1:3" ht="15" customHeight="1" x14ac:dyDescent="0.2">
      <c r="A3" s="18" t="s">
        <v>60</v>
      </c>
      <c r="B3" s="19" t="s">
        <v>61</v>
      </c>
      <c r="C3" s="16" t="s">
        <v>64</v>
      </c>
    </row>
    <row r="4" spans="1:3" x14ac:dyDescent="0.2">
      <c r="A4" s="16" t="s">
        <v>62</v>
      </c>
      <c r="B4">
        <v>10</v>
      </c>
      <c r="C4" s="16" t="s">
        <v>66</v>
      </c>
    </row>
    <row r="5" spans="1:3" x14ac:dyDescent="0.2">
      <c r="A5" s="16" t="s">
        <v>63</v>
      </c>
      <c r="B5">
        <v>10</v>
      </c>
      <c r="C5" s="16" t="s">
        <v>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152400</xdr:colOff>
                    <xdr:row>4</xdr:row>
                    <xdr:rowOff>104775</xdr:rowOff>
                  </from>
                  <to>
                    <xdr:col>6</xdr:col>
                    <xdr:colOff>142875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工资明细</vt:lpstr>
      <vt:lpstr>工资条模板</vt:lpstr>
      <vt:lpstr>发送邮件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Minjie Sun</dc:creator>
  <cp:lastModifiedBy>Minjie Sun</cp:lastModifiedBy>
  <cp:lastPrinted>2016-11-09T05:53:34Z</cp:lastPrinted>
  <dcterms:created xsi:type="dcterms:W3CDTF">2016-11-09T02:49:33Z</dcterms:created>
  <dcterms:modified xsi:type="dcterms:W3CDTF">2019-05-20T02:21:03Z</dcterms:modified>
</cp:coreProperties>
</file>